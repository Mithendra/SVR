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ithendra\Downloads\120826svrreport_working\"/>
    </mc:Choice>
  </mc:AlternateContent>
  <xr:revisionPtr revIDLastSave="0" documentId="13_ncr:1_{B1A7139E-5927-4DEB-9E05-6900F35580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 Sales Report" sheetId="1" r:id="rId1"/>
    <sheet name="Transcription Notes" sheetId="2" r:id="rId2"/>
    <sheet name="Source Image" sheetId="3" r:id="rId3"/>
  </sheets>
  <definedNames>
    <definedName name="_xlnm.Print_Area" localSheetId="0">'Daily Sales Report'!$A$1:$BH$40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W32" i="1" l="1"/>
  <c r="AE21" i="1"/>
  <c r="AE46" i="1" s="1"/>
  <c r="AY8" i="1"/>
  <c r="AE4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Source transcription</author>
  </authors>
  <commentList>
    <comment ref="AE17" authorId="0" shapeId="0" xr:uid="{00000000-0006-0000-0000-000006000000}">
      <text>
        <r>
          <rPr>
            <sz val="10"/>
            <rFont val="Arial"/>
            <family val="2"/>
          </rPr>
          <t>Handwritten calculation in the description area: 526.8 + 588.5 + 100 = 1215.3</t>
        </r>
      </text>
    </comment>
    <comment ref="Y24" authorId="0" shapeId="0" xr:uid="{00000000-0006-0000-0000-000003000000}">
      <text>
        <r>
          <rPr>
            <sz val="10"/>
            <rFont val="Arial"/>
            <family val="2"/>
          </rPr>
          <t>Handwriting appears to show a parenthesized quantity beginning with 60; exact characters are unclear.</t>
        </r>
      </text>
    </comment>
    <comment ref="A25" authorId="0" shapeId="0" xr:uid="{00000000-0006-0000-0000-000001000000}">
      <text>
        <r>
          <rPr>
            <sz val="10"/>
            <rFont val="Arial"/>
            <family val="2"/>
          </rPr>
          <t>Second card-holder name is not reliably legible in the source image; source image is preserved on the Source Image sheet.</t>
        </r>
      </text>
    </comment>
    <comment ref="Y25" authorId="0" shapeId="0" xr:uid="{00000000-0006-0000-0000-000004000000}">
      <text>
        <r>
          <rPr>
            <sz val="10"/>
            <rFont val="Arial"/>
            <family val="2"/>
          </rPr>
          <t>Handwritten quantity appears to read 57.74.</t>
        </r>
      </text>
    </comment>
    <comment ref="A26" authorId="0" shapeId="0" xr:uid="{00000000-0006-0000-0000-000002000000}">
      <text>
        <r>
          <rPr>
            <sz val="10"/>
            <rFont val="Arial"/>
            <family val="2"/>
          </rPr>
          <t>Third card-holder name is not reliably legible in the source image; source image is preserved on the Source Image sheet.</t>
        </r>
      </text>
    </comment>
    <comment ref="Y26" authorId="0" shapeId="0" xr:uid="{00000000-0006-0000-0000-000005000000}">
      <text>
        <r>
          <rPr>
            <sz val="10"/>
            <rFont val="Arial"/>
            <family val="2"/>
          </rPr>
          <t>Handwritten quantity is partially legible and appears to begin with 65/.</t>
        </r>
      </text>
    </comment>
    <comment ref="AE49" authorId="0" shapeId="0" xr:uid="{00000000-0006-0000-0000-000008000000}">
      <text>
        <r>
          <rPr>
            <sz val="10"/>
            <rFont val="Arial"/>
            <family val="2"/>
          </rPr>
          <t>Handwritten summary value appears to read 73893.12.</t>
        </r>
      </text>
    </comment>
    <comment ref="AE55" authorId="0" shapeId="0" xr:uid="{00000000-0006-0000-0000-000009000000}">
      <text>
        <r>
          <rPr>
            <sz val="10"/>
            <rFont val="Arial"/>
            <family val="2"/>
          </rPr>
          <t>Signature is a handwritten mark and is not reliably transcribable as text. Exact mark is preserved on the Source Image sheet.</t>
        </r>
      </text>
    </comment>
  </commentList>
</comments>
</file>

<file path=xl/sharedStrings.xml><?xml version="1.0" encoding="utf-8"?>
<sst xmlns="http://schemas.openxmlformats.org/spreadsheetml/2006/main" count="161" uniqueCount="98">
  <si>
    <t>SVR Indian Oil Service Station - Daily Sales Report</t>
  </si>
  <si>
    <t>Date</t>
  </si>
  <si>
    <t>11/8/26</t>
  </si>
  <si>
    <t>Name</t>
  </si>
  <si>
    <t>G. Vijay</t>
  </si>
  <si>
    <t>Pump / Road Front / Office Front</t>
  </si>
  <si>
    <t>Road Front</t>
  </si>
  <si>
    <t>Shift</t>
  </si>
  <si>
    <t>Day &amp; Night</t>
  </si>
  <si>
    <t>Gas Sale(s)</t>
  </si>
  <si>
    <t>Pump</t>
  </si>
  <si>
    <t>Current Reading</t>
  </si>
  <si>
    <t>Last Shift Reading</t>
  </si>
  <si>
    <t>Consumption (Last-Current)</t>
  </si>
  <si>
    <t>Rate Per Pump</t>
  </si>
  <si>
    <t>Amount</t>
  </si>
  <si>
    <t>Diesel (HS)</t>
  </si>
  <si>
    <t>Petrol (MS)</t>
  </si>
  <si>
    <t>Total Amt</t>
  </si>
  <si>
    <t>Oil Sale(s)</t>
  </si>
  <si>
    <t>Item</t>
  </si>
  <si>
    <t>Quantity</t>
  </si>
  <si>
    <t>Rate</t>
  </si>
  <si>
    <t>Before Stock</t>
  </si>
  <si>
    <t>After Sale Stock</t>
  </si>
  <si>
    <t>2T Oil (1.20 ML / 2.40 ML)
Sales</t>
  </si>
  <si>
    <t>—</t>
  </si>
  <si>
    <t>Acid Water</t>
  </si>
  <si>
    <t>20/40 Engine Oil in Lts</t>
  </si>
  <si>
    <t>Total Amt Oil(s)</t>
  </si>
  <si>
    <t>Expenses</t>
  </si>
  <si>
    <t>Description</t>
  </si>
  <si>
    <t>Daily Diesel(5L) &amp; Petrol(5L) + Density Testing + Beta = Total Amt</t>
  </si>
  <si>
    <t>Any Other Expenses</t>
  </si>
  <si>
    <t>Last Night Cash Hand-off Amount</t>
  </si>
  <si>
    <t>Last Night Cash Hand-off Person's Name &amp; Signature</t>
  </si>
  <si>
    <t>Gopi</t>
  </si>
  <si>
    <t>Total Amt Expenses</t>
  </si>
  <si>
    <t>Credit Cards Swiping(s)</t>
  </si>
  <si>
    <t>Card Holder / Terminal ID</t>
  </si>
  <si>
    <t>Card Type</t>
  </si>
  <si>
    <t>In Lts</t>
  </si>
  <si>
    <t>Transaction/Receipt #</t>
  </si>
  <si>
    <t>CC A-T</t>
  </si>
  <si>
    <t>HP Power</t>
  </si>
  <si>
    <t>(60?)</t>
  </si>
  <si>
    <t>TID: 4000627873</t>
  </si>
  <si>
    <t>Unreadable handwriting</t>
  </si>
  <si>
    <t>57.74</t>
  </si>
  <si>
    <t>Ditto</t>
  </si>
  <si>
    <t>65/??</t>
  </si>
  <si>
    <t>Total Amt Credit Cards</t>
  </si>
  <si>
    <t>Today New Credit(s)</t>
  </si>
  <si>
    <t>Creditor Name</t>
  </si>
  <si>
    <t>Type (1. Diesel 2. Petrol)</t>
  </si>
  <si>
    <t>In Ltrs</t>
  </si>
  <si>
    <t>Signature</t>
  </si>
  <si>
    <t>Total Amt New Credits Today</t>
  </si>
  <si>
    <t>Old/Pending Credit Received [NOT part of today's Daily Sales Report]</t>
  </si>
  <si>
    <t>Customer Name</t>
  </si>
  <si>
    <t>Old Credit Given Date</t>
  </si>
  <si>
    <t>Summary - Cash Hand Off</t>
  </si>
  <si>
    <t>Cash (Gas+ Oils) Total Amt</t>
  </si>
  <si>
    <t>Expenses Total Amt</t>
  </si>
  <si>
    <t>Phone Pay Settled Total Amt as of 6:30 AM</t>
  </si>
  <si>
    <t>Phone Pay Not Settled Total Amt As of today ___ AM ( Attach a Separate Empty Sheet if needed)</t>
  </si>
  <si>
    <t>New Credits Total Amt</t>
  </si>
  <si>
    <t>Credit Cards Swiping Total Amt</t>
  </si>
  <si>
    <t>Night Cash Hand Off Total Amt</t>
  </si>
  <si>
    <t>Net Bal Hand off (Cash - Expenses + Phone Pay Not Settled + Today New Credits + Card Swiping + Night Cash Hand Off )</t>
  </si>
  <si>
    <t>Total Amt - Old Credit Amt/Given by Customer Name(Do NOT Include in Today's Total)</t>
  </si>
  <si>
    <t>Verified by</t>
  </si>
  <si>
    <t>Mgr Name</t>
  </si>
  <si>
    <t>A. - Girish</t>
  </si>
  <si>
    <t>Handwritten signature</t>
  </si>
  <si>
    <t>12/Aug/2026</t>
  </si>
  <si>
    <t>SVR Daily Sales Report - Transcription Notes</t>
  </si>
  <si>
    <t>Transcription / note</t>
  </si>
  <si>
    <t>Source</t>
  </si>
  <si>
    <t>Handwriting was transcribed from PHOTO-2026-08-12-08-37-50(1).jpg; the complete source image is preserved on the Source Image sheet.</t>
  </si>
  <si>
    <t>Card row 2 holder name</t>
  </si>
  <si>
    <t>Not reliably legible; entered as “Unreadable handwriting”.</t>
  </si>
  <si>
    <t>Card row 3 holder name</t>
  </si>
  <si>
    <t>Card row 1 liters</t>
  </si>
  <si>
    <t>Appears to begin with “60”; exact handwritten value is unclear.</t>
  </si>
  <si>
    <t>Card row 3 liters</t>
  </si>
  <si>
    <t>Partially legible and appears to begin with “65/”.</t>
  </si>
  <si>
    <t>Phone Pay Settled</t>
  </si>
  <si>
    <t>Source shows 48398.4398 crossed out; retained in Daily Sales Report cell AE47 with strikethrough.</t>
  </si>
  <si>
    <t>Phone Pay Not Settled</t>
  </si>
  <si>
    <t>Handwritten value transcribed as 6122.</t>
  </si>
  <si>
    <t>New Credits summary</t>
  </si>
  <si>
    <t>Handwritten summary value appears as 73893.12.</t>
  </si>
  <si>
    <t>Card total</t>
  </si>
  <si>
    <t>Calculated from visible card amounts 6321.60 + 60625.19 + 6946.38 = 73893.17.</t>
  </si>
  <si>
    <t>Verified-by signature</t>
  </si>
  <si>
    <t>Handwritten signature mark is preserved in the Source Image sheet; text transcription is not reliable.</t>
  </si>
  <si>
    <t>Original source image (preserved for reference)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</si>
</sst>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theme="1"/>
      <name val="Calibri"/>
      <family val="2"/>
      <charset val="1"/>
    </font>
    <font>
      <b/>
      <sz val="14"/>
      <color rgb="FF000000"/>
      <name val="Calibri"/>
      <charset val="1"/>
    </font>
    <font>
      <b/>
      <sz val="8"/>
      <name val="Calibri"/>
      <charset val="1"/>
    </font>
    <font>
      <sz val="8"/>
      <color rgb="FF000000"/>
      <name val="Calibri"/>
      <charset val="1"/>
    </font>
    <font>
      <b/>
      <sz val="9"/>
      <color rgb="FF000000"/>
      <name val="Calibri"/>
      <charset val="1"/>
    </font>
    <font>
      <b/>
      <sz val="8"/>
      <color rgb="FF000000"/>
      <name val="Calibri"/>
      <charset val="1"/>
    </font>
    <font>
      <sz val="10"/>
      <name val="Arial"/>
      <family val="2"/>
    </font>
    <font>
      <b/>
      <sz val="14"/>
      <name val="Cambria"/>
      <charset val="1"/>
    </font>
    <font>
      <b/>
      <sz val="11"/>
      <name val="Cambria"/>
      <charset val="1"/>
    </font>
    <font>
      <sz val="8"/>
      <color rgb="FF00000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9E2F3"/>
        <bgColor rgb="FFCCFFFF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right" vertical="center" wrapText="1"/>
    </xf>
    <xf numFmtId="2" fontId="3" fillId="2" borderId="1" xfId="0" applyNumberFormat="1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right" vertical="center" wrapText="1"/>
    </xf>
    <xf numFmtId="2" fontId="5" fillId="3" borderId="1" xfId="0" applyNumberFormat="1" applyFont="1" applyFill="1" applyBorder="1" applyAlignment="1">
      <alignment horizontal="right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2" fontId="5" fillId="3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right" vertical="center" wrapText="1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160560</xdr:rowOff>
    </xdr:from>
    <xdr:to>
      <xdr:col>0</xdr:col>
      <xdr:colOff>8572320</xdr:colOff>
      <xdr:row>67</xdr:row>
      <xdr:rowOff>83880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80880"/>
          <a:ext cx="8572320" cy="12496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H55"/>
  <sheetViews>
    <sheetView showGridLines="0" tabSelected="1" zoomScaleNormal="100" workbookViewId="0">
      <pane ySplit="1" topLeftCell="A23" activePane="bottomLeft" state="frozen"/>
      <selection pane="bottomLeft" activeCell="AE49" sqref="AE49:BH49"/>
    </sheetView>
  </sheetViews>
  <sheetFormatPr defaultColWidth="8.7109375" defaultRowHeight="15" customHeight="1" x14ac:dyDescent="0.25"/>
  <cols>
    <col min="1" max="60" width="1.5703125" customWidth="1"/>
  </cols>
  <sheetData>
    <row r="1" spans="1:60" ht="25.5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</row>
    <row r="2" spans="1:60" ht="12.75" customHeight="1" x14ac:dyDescent="0.2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2" t="s">
        <v>2</v>
      </c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3" t="s">
        <v>3</v>
      </c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2" t="s">
        <v>4</v>
      </c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</row>
    <row r="3" spans="1:60" ht="12.75" customHeight="1" x14ac:dyDescent="0.25">
      <c r="A3" s="11" t="s">
        <v>5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2" t="s">
        <v>6</v>
      </c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1" t="s">
        <v>7</v>
      </c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2" t="s">
        <v>8</v>
      </c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</row>
    <row r="4" spans="1:60" ht="13.5" customHeight="1" x14ac:dyDescent="0.25">
      <c r="A4" s="10" t="s">
        <v>9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</row>
    <row r="5" spans="1:60" ht="13.5" customHeight="1" x14ac:dyDescent="0.25">
      <c r="A5" s="9" t="s">
        <v>10</v>
      </c>
      <c r="B5" s="9"/>
      <c r="C5" s="9"/>
      <c r="D5" s="9"/>
      <c r="E5" s="9"/>
      <c r="F5" s="9"/>
      <c r="G5" s="9"/>
      <c r="H5" s="9"/>
      <c r="I5" s="9"/>
      <c r="J5" s="9"/>
      <c r="K5" s="8" t="s">
        <v>11</v>
      </c>
      <c r="L5" s="8"/>
      <c r="M5" s="8"/>
      <c r="N5" s="8"/>
      <c r="O5" s="8"/>
      <c r="P5" s="8"/>
      <c r="Q5" s="8"/>
      <c r="R5" s="8"/>
      <c r="S5" s="8"/>
      <c r="T5" s="8"/>
      <c r="U5" s="8" t="s">
        <v>12</v>
      </c>
      <c r="V5" s="8"/>
      <c r="W5" s="8"/>
      <c r="X5" s="8"/>
      <c r="Y5" s="8"/>
      <c r="Z5" s="8"/>
      <c r="AA5" s="8"/>
      <c r="AB5" s="8"/>
      <c r="AC5" s="8"/>
      <c r="AD5" s="8"/>
      <c r="AE5" s="8" t="s">
        <v>13</v>
      </c>
      <c r="AF5" s="8"/>
      <c r="AG5" s="8"/>
      <c r="AH5" s="8"/>
      <c r="AI5" s="8"/>
      <c r="AJ5" s="8"/>
      <c r="AK5" s="8"/>
      <c r="AL5" s="8"/>
      <c r="AM5" s="8"/>
      <c r="AN5" s="8"/>
      <c r="AO5" s="8" t="s">
        <v>14</v>
      </c>
      <c r="AP5" s="8"/>
      <c r="AQ5" s="8"/>
      <c r="AR5" s="8"/>
      <c r="AS5" s="8"/>
      <c r="AT5" s="8"/>
      <c r="AU5" s="8"/>
      <c r="AV5" s="8"/>
      <c r="AW5" s="8"/>
      <c r="AX5" s="8"/>
      <c r="AY5" s="8" t="s">
        <v>15</v>
      </c>
      <c r="AZ5" s="8"/>
      <c r="BA5" s="8"/>
      <c r="BB5" s="8"/>
      <c r="BC5" s="8"/>
      <c r="BD5" s="8"/>
      <c r="BE5" s="8"/>
      <c r="BF5" s="8"/>
      <c r="BG5" s="8"/>
      <c r="BH5" s="8"/>
    </row>
    <row r="6" spans="1:60" ht="13.5" customHeight="1" x14ac:dyDescent="0.25">
      <c r="A6" s="7" t="s">
        <v>16</v>
      </c>
      <c r="B6" s="7"/>
      <c r="C6" s="7"/>
      <c r="D6" s="7"/>
      <c r="E6" s="7"/>
      <c r="F6" s="7"/>
      <c r="G6" s="7"/>
      <c r="H6" s="7"/>
      <c r="I6" s="7"/>
      <c r="J6" s="7"/>
      <c r="K6" s="6">
        <v>1477661.16</v>
      </c>
      <c r="L6" s="6"/>
      <c r="M6" s="6"/>
      <c r="N6" s="6"/>
      <c r="O6" s="6"/>
      <c r="P6" s="6"/>
      <c r="Q6" s="6"/>
      <c r="R6" s="6"/>
      <c r="S6" s="6"/>
      <c r="T6" s="6"/>
      <c r="U6" s="6">
        <v>1476461.66</v>
      </c>
      <c r="V6" s="6"/>
      <c r="W6" s="6"/>
      <c r="X6" s="6"/>
      <c r="Y6" s="6"/>
      <c r="Z6" s="6"/>
      <c r="AA6" s="6"/>
      <c r="AB6" s="6"/>
      <c r="AC6" s="6"/>
      <c r="AD6" s="6"/>
      <c r="AE6" s="5">
        <v>1199.5</v>
      </c>
      <c r="AF6" s="5"/>
      <c r="AG6" s="5"/>
      <c r="AH6" s="5"/>
      <c r="AI6" s="5"/>
      <c r="AJ6" s="5"/>
      <c r="AK6" s="5"/>
      <c r="AL6" s="5"/>
      <c r="AM6" s="5"/>
      <c r="AN6" s="5"/>
      <c r="AO6" s="5">
        <v>105.36</v>
      </c>
      <c r="AP6" s="5"/>
      <c r="AQ6" s="5"/>
      <c r="AR6" s="5"/>
      <c r="AS6" s="5"/>
      <c r="AT6" s="5"/>
      <c r="AU6" s="5"/>
      <c r="AV6" s="5"/>
      <c r="AW6" s="5"/>
      <c r="AX6" s="5"/>
      <c r="AY6" s="5">
        <v>126379.32</v>
      </c>
      <c r="AZ6" s="5"/>
      <c r="BA6" s="5"/>
      <c r="BB6" s="5"/>
      <c r="BC6" s="5"/>
      <c r="BD6" s="5"/>
      <c r="BE6" s="5"/>
      <c r="BF6" s="5"/>
      <c r="BG6" s="5"/>
      <c r="BH6" s="5"/>
    </row>
    <row r="7" spans="1:60" ht="13.5" customHeight="1" x14ac:dyDescent="0.25">
      <c r="A7" s="7" t="s">
        <v>17</v>
      </c>
      <c r="B7" s="7"/>
      <c r="C7" s="7"/>
      <c r="D7" s="7"/>
      <c r="E7" s="7"/>
      <c r="F7" s="7"/>
      <c r="G7" s="7"/>
      <c r="H7" s="7"/>
      <c r="I7" s="7"/>
      <c r="J7" s="7"/>
      <c r="K7" s="6">
        <v>656372.65</v>
      </c>
      <c r="L7" s="6"/>
      <c r="M7" s="6"/>
      <c r="N7" s="6"/>
      <c r="O7" s="6"/>
      <c r="P7" s="6"/>
      <c r="Q7" s="6"/>
      <c r="R7" s="6"/>
      <c r="S7" s="6"/>
      <c r="T7" s="6"/>
      <c r="U7" s="6">
        <v>656105.04</v>
      </c>
      <c r="V7" s="6"/>
      <c r="W7" s="6"/>
      <c r="X7" s="6"/>
      <c r="Y7" s="6"/>
      <c r="Z7" s="6"/>
      <c r="AA7" s="6"/>
      <c r="AB7" s="6"/>
      <c r="AC7" s="6"/>
      <c r="AD7" s="6"/>
      <c r="AE7" s="5">
        <v>267.61</v>
      </c>
      <c r="AF7" s="5"/>
      <c r="AG7" s="5"/>
      <c r="AH7" s="5"/>
      <c r="AI7" s="5"/>
      <c r="AJ7" s="5"/>
      <c r="AK7" s="5"/>
      <c r="AL7" s="5"/>
      <c r="AM7" s="5"/>
      <c r="AN7" s="5"/>
      <c r="AO7" s="5">
        <v>117.7</v>
      </c>
      <c r="AP7" s="5"/>
      <c r="AQ7" s="5"/>
      <c r="AR7" s="5"/>
      <c r="AS7" s="5"/>
      <c r="AT7" s="5"/>
      <c r="AU7" s="5"/>
      <c r="AV7" s="5"/>
      <c r="AW7" s="5"/>
      <c r="AX7" s="5"/>
      <c r="AY7" s="5">
        <v>31497.69</v>
      </c>
      <c r="AZ7" s="5"/>
      <c r="BA7" s="5"/>
      <c r="BB7" s="5"/>
      <c r="BC7" s="5"/>
      <c r="BD7" s="5"/>
      <c r="BE7" s="5"/>
      <c r="BF7" s="5"/>
      <c r="BG7" s="5"/>
      <c r="BH7" s="5"/>
    </row>
    <row r="8" spans="1:60" ht="13.5" customHeight="1" x14ac:dyDescent="0.25">
      <c r="A8" s="9" t="s">
        <v>18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4">
        <f>ROUND(AY6+AY7,2)</f>
        <v>157877.01</v>
      </c>
      <c r="AZ8" s="4"/>
      <c r="BA8" s="4"/>
      <c r="BB8" s="4"/>
      <c r="BC8" s="4"/>
      <c r="BD8" s="4"/>
      <c r="BE8" s="4"/>
      <c r="BF8" s="4"/>
      <c r="BG8" s="4"/>
      <c r="BH8" s="4"/>
    </row>
    <row r="9" spans="1:60" ht="13.5" customHeight="1" x14ac:dyDescent="0.25">
      <c r="A9" s="10" t="s">
        <v>19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</row>
    <row r="10" spans="1:60" ht="13.5" customHeight="1" x14ac:dyDescent="0.25">
      <c r="A10" s="9" t="s">
        <v>20</v>
      </c>
      <c r="B10" s="9"/>
      <c r="C10" s="9"/>
      <c r="D10" s="9"/>
      <c r="E10" s="9"/>
      <c r="F10" s="9"/>
      <c r="G10" s="9"/>
      <c r="H10" s="9"/>
      <c r="I10" s="9"/>
      <c r="J10" s="9"/>
      <c r="K10" s="8" t="s">
        <v>21</v>
      </c>
      <c r="L10" s="8"/>
      <c r="M10" s="8"/>
      <c r="N10" s="8"/>
      <c r="O10" s="8"/>
      <c r="P10" s="8"/>
      <c r="Q10" s="8"/>
      <c r="R10" s="8"/>
      <c r="S10" s="8"/>
      <c r="T10" s="8"/>
      <c r="U10" s="8" t="s">
        <v>22</v>
      </c>
      <c r="V10" s="8"/>
      <c r="W10" s="8"/>
      <c r="X10" s="8"/>
      <c r="Y10" s="8"/>
      <c r="Z10" s="8"/>
      <c r="AA10" s="8"/>
      <c r="AB10" s="8"/>
      <c r="AC10" s="8"/>
      <c r="AD10" s="8"/>
      <c r="AE10" s="8" t="s">
        <v>23</v>
      </c>
      <c r="AF10" s="8"/>
      <c r="AG10" s="8"/>
      <c r="AH10" s="8"/>
      <c r="AI10" s="8"/>
      <c r="AJ10" s="8"/>
      <c r="AK10" s="8"/>
      <c r="AL10" s="8"/>
      <c r="AM10" s="8"/>
      <c r="AN10" s="8"/>
      <c r="AO10" s="8" t="s">
        <v>24</v>
      </c>
      <c r="AP10" s="8"/>
      <c r="AQ10" s="8"/>
      <c r="AR10" s="8"/>
      <c r="AS10" s="8"/>
      <c r="AT10" s="8"/>
      <c r="AU10" s="8"/>
      <c r="AV10" s="8"/>
      <c r="AW10" s="8"/>
      <c r="AX10" s="8"/>
      <c r="AY10" s="8" t="s">
        <v>15</v>
      </c>
      <c r="AZ10" s="8"/>
      <c r="BA10" s="8"/>
      <c r="BB10" s="8"/>
      <c r="BC10" s="8"/>
      <c r="BD10" s="8"/>
      <c r="BE10" s="8"/>
      <c r="BF10" s="8"/>
      <c r="BG10" s="8"/>
      <c r="BH10" s="8"/>
    </row>
    <row r="11" spans="1:60" ht="21.75" customHeight="1" x14ac:dyDescent="0.25">
      <c r="A11" s="7" t="s">
        <v>25</v>
      </c>
      <c r="B11" s="7"/>
      <c r="C11" s="7"/>
      <c r="D11" s="7"/>
      <c r="E11" s="7"/>
      <c r="F11" s="7"/>
      <c r="G11" s="7"/>
      <c r="H11" s="7"/>
      <c r="I11" s="7"/>
      <c r="J11" s="7"/>
      <c r="K11" s="12" t="s">
        <v>26</v>
      </c>
      <c r="L11" s="12"/>
      <c r="M11" s="12"/>
      <c r="N11" s="12"/>
      <c r="O11" s="12"/>
      <c r="P11" s="12"/>
      <c r="Q11" s="12"/>
      <c r="R11" s="12"/>
      <c r="S11" s="12"/>
      <c r="T11" s="12"/>
      <c r="U11" s="12" t="s">
        <v>26</v>
      </c>
      <c r="V11" s="12"/>
      <c r="W11" s="12"/>
      <c r="X11" s="12"/>
      <c r="Y11" s="12"/>
      <c r="Z11" s="12"/>
      <c r="AA11" s="12"/>
      <c r="AB11" s="12"/>
      <c r="AC11" s="12"/>
      <c r="AD11" s="12"/>
      <c r="AE11" s="12" t="s">
        <v>26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 t="s">
        <v>26</v>
      </c>
      <c r="AP11" s="12"/>
      <c r="AQ11" s="12"/>
      <c r="AR11" s="12"/>
      <c r="AS11" s="12"/>
      <c r="AT11" s="12"/>
      <c r="AU11" s="12"/>
      <c r="AV11" s="12"/>
      <c r="AW11" s="12"/>
      <c r="AX11" s="12"/>
      <c r="AY11" s="12" t="s">
        <v>26</v>
      </c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3.5" customHeight="1" x14ac:dyDescent="0.25">
      <c r="A12" s="7" t="s">
        <v>27</v>
      </c>
      <c r="B12" s="7"/>
      <c r="C12" s="7"/>
      <c r="D12" s="7"/>
      <c r="E12" s="7"/>
      <c r="F12" s="7"/>
      <c r="G12" s="7"/>
      <c r="H12" s="7"/>
      <c r="I12" s="7"/>
      <c r="J12" s="7"/>
      <c r="K12" s="12" t="s">
        <v>26</v>
      </c>
      <c r="L12" s="12"/>
      <c r="M12" s="12"/>
      <c r="N12" s="12"/>
      <c r="O12" s="12"/>
      <c r="P12" s="12"/>
      <c r="Q12" s="12"/>
      <c r="R12" s="12"/>
      <c r="S12" s="12"/>
      <c r="T12" s="12"/>
      <c r="U12" s="12" t="s">
        <v>26</v>
      </c>
      <c r="V12" s="12"/>
      <c r="W12" s="12"/>
      <c r="X12" s="12"/>
      <c r="Y12" s="12"/>
      <c r="Z12" s="12"/>
      <c r="AA12" s="12"/>
      <c r="AB12" s="12"/>
      <c r="AC12" s="12"/>
      <c r="AD12" s="12"/>
      <c r="AE12" s="12" t="s">
        <v>26</v>
      </c>
      <c r="AF12" s="12"/>
      <c r="AG12" s="12"/>
      <c r="AH12" s="12"/>
      <c r="AI12" s="12"/>
      <c r="AJ12" s="12"/>
      <c r="AK12" s="12"/>
      <c r="AL12" s="12"/>
      <c r="AM12" s="12"/>
      <c r="AN12" s="12"/>
      <c r="AO12" s="12" t="s">
        <v>26</v>
      </c>
      <c r="AP12" s="12"/>
      <c r="AQ12" s="12"/>
      <c r="AR12" s="12"/>
      <c r="AS12" s="12"/>
      <c r="AT12" s="12"/>
      <c r="AU12" s="12"/>
      <c r="AV12" s="12"/>
      <c r="AW12" s="12"/>
      <c r="AX12" s="12"/>
      <c r="AY12" s="12" t="s">
        <v>26</v>
      </c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ht="13.5" customHeight="1" x14ac:dyDescent="0.25">
      <c r="A13" s="7" t="s">
        <v>28</v>
      </c>
      <c r="B13" s="7"/>
      <c r="C13" s="7"/>
      <c r="D13" s="7"/>
      <c r="E13" s="7"/>
      <c r="F13" s="7"/>
      <c r="G13" s="7"/>
      <c r="H13" s="7"/>
      <c r="I13" s="7"/>
      <c r="J13" s="7"/>
      <c r="K13" s="12" t="s">
        <v>26</v>
      </c>
      <c r="L13" s="12"/>
      <c r="M13" s="12"/>
      <c r="N13" s="12"/>
      <c r="O13" s="12"/>
      <c r="P13" s="12"/>
      <c r="Q13" s="12"/>
      <c r="R13" s="12"/>
      <c r="S13" s="12"/>
      <c r="T13" s="12"/>
      <c r="U13" s="12" t="s">
        <v>26</v>
      </c>
      <c r="V13" s="12"/>
      <c r="W13" s="12"/>
      <c r="X13" s="12"/>
      <c r="Y13" s="12"/>
      <c r="Z13" s="12"/>
      <c r="AA13" s="12"/>
      <c r="AB13" s="12"/>
      <c r="AC13" s="12"/>
      <c r="AD13" s="12"/>
      <c r="AE13" s="12" t="s">
        <v>26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 t="s">
        <v>26</v>
      </c>
      <c r="AP13" s="12"/>
      <c r="AQ13" s="12"/>
      <c r="AR13" s="12"/>
      <c r="AS13" s="12"/>
      <c r="AT13" s="12"/>
      <c r="AU13" s="12"/>
      <c r="AV13" s="12"/>
      <c r="AW13" s="12"/>
      <c r="AX13" s="12"/>
      <c r="AY13" s="12" t="s">
        <v>26</v>
      </c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3.5" customHeight="1" x14ac:dyDescent="0.25">
      <c r="A14" s="9" t="s">
        <v>29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3"/>
      <c r="AZ14" s="3"/>
      <c r="BA14" s="3"/>
      <c r="BB14" s="3"/>
      <c r="BC14" s="3"/>
      <c r="BD14" s="3"/>
      <c r="BE14" s="3"/>
      <c r="BF14" s="3"/>
      <c r="BG14" s="3"/>
      <c r="BH14" s="3"/>
    </row>
    <row r="15" spans="1:60" ht="13.5" customHeight="1" x14ac:dyDescent="0.25">
      <c r="A15" s="10" t="s">
        <v>30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</row>
    <row r="16" spans="1:60" ht="13.5" customHeight="1" x14ac:dyDescent="0.25">
      <c r="A16" s="8" t="s">
        <v>31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 t="s">
        <v>15</v>
      </c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</row>
    <row r="17" spans="1:60" ht="19.5" customHeight="1" x14ac:dyDescent="0.25">
      <c r="A17" s="7" t="s">
        <v>32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2">
        <v>1215.3</v>
      </c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</row>
    <row r="18" spans="1:60" ht="13.5" customHeight="1" x14ac:dyDescent="0.25">
      <c r="A18" s="7" t="s">
        <v>33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1" t="s">
        <v>26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spans="1:60" ht="13.5" customHeight="1" x14ac:dyDescent="0.25">
      <c r="A19" s="7" t="s">
        <v>34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2">
        <v>23000</v>
      </c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</row>
    <row r="20" spans="1:60" ht="13.5" customHeight="1" x14ac:dyDescent="0.25">
      <c r="A20" s="7" t="s">
        <v>35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1" t="s">
        <v>36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</row>
    <row r="21" spans="1:60" ht="13.5" customHeight="1" x14ac:dyDescent="0.25">
      <c r="A21" s="9" t="s">
        <v>37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4">
        <f>ROUND(SUM(AE17:AE19),2)</f>
        <v>24215.3</v>
      </c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</row>
    <row r="22" spans="1:60" ht="13.5" customHeight="1" x14ac:dyDescent="0.25">
      <c r="A22" s="10" t="s">
        <v>38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</row>
    <row r="23" spans="1:60" ht="13.5" customHeight="1" x14ac:dyDescent="0.25">
      <c r="A23" s="8" t="s">
        <v>39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 t="s">
        <v>40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 t="s">
        <v>41</v>
      </c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 t="s">
        <v>42</v>
      </c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 t="s">
        <v>15</v>
      </c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</row>
    <row r="24" spans="1:60" ht="13.5" customHeight="1" x14ac:dyDescent="0.25">
      <c r="A24" s="12" t="s">
        <v>43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 t="s">
        <v>44</v>
      </c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 t="s">
        <v>45</v>
      </c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 t="s">
        <v>46</v>
      </c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5">
        <v>6321.6</v>
      </c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</row>
    <row r="25" spans="1:60" ht="13.5" customHeight="1" x14ac:dyDescent="0.25">
      <c r="A25" s="12" t="s">
        <v>47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 t="s">
        <v>26</v>
      </c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5" t="s">
        <v>48</v>
      </c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12" t="s">
        <v>49</v>
      </c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5">
        <v>60625.19</v>
      </c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</row>
    <row r="26" spans="1:60" ht="13.5" customHeight="1" x14ac:dyDescent="0.25">
      <c r="A26" s="12" t="s">
        <v>47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 t="s">
        <v>26</v>
      </c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 t="s">
        <v>50</v>
      </c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 t="s">
        <v>49</v>
      </c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5">
        <v>6946.38</v>
      </c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</row>
    <row r="27" spans="1:60" ht="13.5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</row>
    <row r="28" spans="1:60" ht="13.5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</row>
    <row r="29" spans="1:60" ht="13.5" customHeight="1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</row>
    <row r="30" spans="1:60" ht="13.5" customHeight="1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</row>
    <row r="31" spans="1:60" ht="13.5" customHeight="1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</row>
    <row r="32" spans="1:60" ht="13.5" customHeight="1" x14ac:dyDescent="0.25">
      <c r="A32" s="8" t="s">
        <v>51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17">
        <f>ROUND(SUM(AW24:AW26),2)</f>
        <v>73893.17</v>
      </c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</row>
    <row r="33" spans="1:60" ht="13.5" customHeight="1" x14ac:dyDescent="0.25">
      <c r="A33" s="10" t="s">
        <v>52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</row>
    <row r="34" spans="1:60" ht="13.5" customHeight="1" x14ac:dyDescent="0.25">
      <c r="A34" s="9" t="s">
        <v>53</v>
      </c>
      <c r="B34" s="9"/>
      <c r="C34" s="9"/>
      <c r="D34" s="9"/>
      <c r="E34" s="9"/>
      <c r="F34" s="9"/>
      <c r="G34" s="9"/>
      <c r="H34" s="9"/>
      <c r="I34" s="9"/>
      <c r="J34" s="9"/>
      <c r="K34" s="8" t="s">
        <v>54</v>
      </c>
      <c r="L34" s="8"/>
      <c r="M34" s="8"/>
      <c r="N34" s="8"/>
      <c r="O34" s="8"/>
      <c r="P34" s="8"/>
      <c r="Q34" s="8"/>
      <c r="R34" s="8"/>
      <c r="S34" s="8"/>
      <c r="T34" s="8"/>
      <c r="U34" s="8" t="s">
        <v>55</v>
      </c>
      <c r="V34" s="8"/>
      <c r="W34" s="8"/>
      <c r="X34" s="8"/>
      <c r="Y34" s="8"/>
      <c r="Z34" s="8"/>
      <c r="AA34" s="8"/>
      <c r="AB34" s="8"/>
      <c r="AC34" s="8"/>
      <c r="AD34" s="8"/>
      <c r="AE34" s="8" t="s">
        <v>22</v>
      </c>
      <c r="AF34" s="8"/>
      <c r="AG34" s="8"/>
      <c r="AH34" s="8"/>
      <c r="AI34" s="8"/>
      <c r="AJ34" s="8"/>
      <c r="AK34" s="8"/>
      <c r="AL34" s="8"/>
      <c r="AM34" s="8"/>
      <c r="AN34" s="8"/>
      <c r="AO34" s="8" t="s">
        <v>15</v>
      </c>
      <c r="AP34" s="8"/>
      <c r="AQ34" s="8"/>
      <c r="AR34" s="8"/>
      <c r="AS34" s="8"/>
      <c r="AT34" s="8"/>
      <c r="AU34" s="8"/>
      <c r="AV34" s="8"/>
      <c r="AW34" s="8"/>
      <c r="AX34" s="8"/>
      <c r="AY34" s="8" t="s">
        <v>56</v>
      </c>
      <c r="AZ34" s="8"/>
      <c r="BA34" s="8"/>
      <c r="BB34" s="8"/>
      <c r="BC34" s="8"/>
      <c r="BD34" s="8"/>
      <c r="BE34" s="8"/>
      <c r="BF34" s="8"/>
      <c r="BG34" s="8"/>
      <c r="BH34" s="8"/>
    </row>
    <row r="35" spans="1:60" ht="13.5" customHeight="1" x14ac:dyDescent="0.25">
      <c r="A35" s="7" t="s">
        <v>26</v>
      </c>
      <c r="B35" s="7"/>
      <c r="C35" s="7"/>
      <c r="D35" s="7"/>
      <c r="E35" s="7"/>
      <c r="F35" s="7"/>
      <c r="G35" s="7"/>
      <c r="H35" s="7"/>
      <c r="I35" s="7"/>
      <c r="J35" s="7"/>
      <c r="K35" s="12" t="s">
        <v>26</v>
      </c>
      <c r="L35" s="12"/>
      <c r="M35" s="12"/>
      <c r="N35" s="12"/>
      <c r="O35" s="12"/>
      <c r="P35" s="12"/>
      <c r="Q35" s="12"/>
      <c r="R35" s="12"/>
      <c r="S35" s="12"/>
      <c r="T35" s="12"/>
      <c r="U35" s="12" t="s">
        <v>26</v>
      </c>
      <c r="V35" s="12"/>
      <c r="W35" s="12"/>
      <c r="X35" s="12"/>
      <c r="Y35" s="12"/>
      <c r="Z35" s="12"/>
      <c r="AA35" s="12"/>
      <c r="AB35" s="12"/>
      <c r="AC35" s="12"/>
      <c r="AD35" s="12"/>
      <c r="AE35" s="12" t="s">
        <v>26</v>
      </c>
      <c r="AF35" s="12"/>
      <c r="AG35" s="12"/>
      <c r="AH35" s="12"/>
      <c r="AI35" s="12"/>
      <c r="AJ35" s="12"/>
      <c r="AK35" s="12"/>
      <c r="AL35" s="12"/>
      <c r="AM35" s="12"/>
      <c r="AN35" s="12"/>
      <c r="AO35" s="12" t="s">
        <v>26</v>
      </c>
      <c r="AP35" s="12"/>
      <c r="AQ35" s="12"/>
      <c r="AR35" s="12"/>
      <c r="AS35" s="12"/>
      <c r="AT35" s="12"/>
      <c r="AU35" s="12"/>
      <c r="AV35" s="12"/>
      <c r="AW35" s="12"/>
      <c r="AX35" s="12"/>
      <c r="AY35" s="12" t="s">
        <v>26</v>
      </c>
      <c r="AZ35" s="12"/>
      <c r="BA35" s="12"/>
      <c r="BB35" s="12"/>
      <c r="BC35" s="12"/>
      <c r="BD35" s="12"/>
      <c r="BE35" s="12"/>
      <c r="BF35" s="12"/>
      <c r="BG35" s="12"/>
      <c r="BH35" s="12"/>
    </row>
    <row r="36" spans="1:60" ht="13.5" customHeight="1" x14ac:dyDescent="0.25">
      <c r="A36" s="7" t="s">
        <v>26</v>
      </c>
      <c r="B36" s="7"/>
      <c r="C36" s="7"/>
      <c r="D36" s="7"/>
      <c r="E36" s="7"/>
      <c r="F36" s="7"/>
      <c r="G36" s="7"/>
      <c r="H36" s="7"/>
      <c r="I36" s="7"/>
      <c r="J36" s="7"/>
      <c r="K36" s="12" t="s">
        <v>26</v>
      </c>
      <c r="L36" s="12"/>
      <c r="M36" s="12"/>
      <c r="N36" s="12"/>
      <c r="O36" s="12"/>
      <c r="P36" s="12"/>
      <c r="Q36" s="12"/>
      <c r="R36" s="12"/>
      <c r="S36" s="12"/>
      <c r="T36" s="12"/>
      <c r="U36" s="12" t="s">
        <v>26</v>
      </c>
      <c r="V36" s="12"/>
      <c r="W36" s="12"/>
      <c r="X36" s="12"/>
      <c r="Y36" s="12"/>
      <c r="Z36" s="12"/>
      <c r="AA36" s="12"/>
      <c r="AB36" s="12"/>
      <c r="AC36" s="12"/>
      <c r="AD36" s="12"/>
      <c r="AE36" s="12" t="s">
        <v>26</v>
      </c>
      <c r="AF36" s="12"/>
      <c r="AG36" s="12"/>
      <c r="AH36" s="12"/>
      <c r="AI36" s="12"/>
      <c r="AJ36" s="12"/>
      <c r="AK36" s="12"/>
      <c r="AL36" s="12"/>
      <c r="AM36" s="12"/>
      <c r="AN36" s="12"/>
      <c r="AO36" s="12" t="s">
        <v>26</v>
      </c>
      <c r="AP36" s="12"/>
      <c r="AQ36" s="12"/>
      <c r="AR36" s="12"/>
      <c r="AS36" s="12"/>
      <c r="AT36" s="12"/>
      <c r="AU36" s="12"/>
      <c r="AV36" s="12"/>
      <c r="AW36" s="12"/>
      <c r="AX36" s="12"/>
      <c r="AY36" s="12" t="s">
        <v>26</v>
      </c>
      <c r="AZ36" s="12"/>
      <c r="BA36" s="12"/>
      <c r="BB36" s="12"/>
      <c r="BC36" s="12"/>
      <c r="BD36" s="12"/>
      <c r="BE36" s="12"/>
      <c r="BF36" s="12"/>
      <c r="BG36" s="12"/>
      <c r="BH36" s="12"/>
    </row>
    <row r="37" spans="1:60" ht="13.5" customHeight="1" x14ac:dyDescent="0.25">
      <c r="A37" s="7" t="s">
        <v>26</v>
      </c>
      <c r="B37" s="7"/>
      <c r="C37" s="7"/>
      <c r="D37" s="7"/>
      <c r="E37" s="7"/>
      <c r="F37" s="7"/>
      <c r="G37" s="7"/>
      <c r="H37" s="7"/>
      <c r="I37" s="7"/>
      <c r="J37" s="7"/>
      <c r="K37" s="12" t="s">
        <v>26</v>
      </c>
      <c r="L37" s="12"/>
      <c r="M37" s="12"/>
      <c r="N37" s="12"/>
      <c r="O37" s="12"/>
      <c r="P37" s="12"/>
      <c r="Q37" s="12"/>
      <c r="R37" s="12"/>
      <c r="S37" s="12"/>
      <c r="T37" s="12"/>
      <c r="U37" s="12" t="s">
        <v>26</v>
      </c>
      <c r="V37" s="12"/>
      <c r="W37" s="12"/>
      <c r="X37" s="12"/>
      <c r="Y37" s="12"/>
      <c r="Z37" s="12"/>
      <c r="AA37" s="12"/>
      <c r="AB37" s="12"/>
      <c r="AC37" s="12"/>
      <c r="AD37" s="12"/>
      <c r="AE37" s="12" t="s">
        <v>26</v>
      </c>
      <c r="AF37" s="12"/>
      <c r="AG37" s="12"/>
      <c r="AH37" s="12"/>
      <c r="AI37" s="12"/>
      <c r="AJ37" s="12"/>
      <c r="AK37" s="12"/>
      <c r="AL37" s="12"/>
      <c r="AM37" s="12"/>
      <c r="AN37" s="12"/>
      <c r="AO37" s="12" t="s">
        <v>26</v>
      </c>
      <c r="AP37" s="12"/>
      <c r="AQ37" s="12"/>
      <c r="AR37" s="12"/>
      <c r="AS37" s="12"/>
      <c r="AT37" s="12"/>
      <c r="AU37" s="12"/>
      <c r="AV37" s="12"/>
      <c r="AW37" s="12"/>
      <c r="AX37" s="12"/>
      <c r="AY37" s="12" t="s">
        <v>26</v>
      </c>
      <c r="AZ37" s="12"/>
      <c r="BA37" s="12"/>
      <c r="BB37" s="12"/>
      <c r="BC37" s="12"/>
      <c r="BD37" s="12"/>
      <c r="BE37" s="12"/>
      <c r="BF37" s="12"/>
      <c r="BG37" s="12"/>
      <c r="BH37" s="12"/>
    </row>
    <row r="38" spans="1:60" ht="13.5" customHeight="1" x14ac:dyDescent="0.25">
      <c r="A38" s="9" t="s">
        <v>57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3"/>
      <c r="AZ38" s="3"/>
      <c r="BA38" s="3"/>
      <c r="BB38" s="3"/>
      <c r="BC38" s="3"/>
      <c r="BD38" s="3"/>
      <c r="BE38" s="3"/>
      <c r="BF38" s="3"/>
      <c r="BG38" s="3"/>
      <c r="BH38" s="3"/>
    </row>
    <row r="39" spans="1:60" ht="13.5" customHeight="1" x14ac:dyDescent="0.25">
      <c r="A39" s="10" t="s">
        <v>58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</row>
    <row r="40" spans="1:60" ht="13.5" customHeight="1" x14ac:dyDescent="0.25">
      <c r="A40" s="8" t="s">
        <v>59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 t="s">
        <v>15</v>
      </c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 t="s">
        <v>60</v>
      </c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 t="s">
        <v>56</v>
      </c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</row>
    <row r="41" spans="1:60" ht="13.5" customHeight="1" x14ac:dyDescent="0.25">
      <c r="A41" s="12" t="s">
        <v>26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 t="s">
        <v>26</v>
      </c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 t="s">
        <v>26</v>
      </c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 t="s">
        <v>26</v>
      </c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</row>
    <row r="42" spans="1:60" ht="13.5" customHeight="1" x14ac:dyDescent="0.25">
      <c r="A42" s="12" t="s">
        <v>26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 t="s">
        <v>26</v>
      </c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 t="s">
        <v>26</v>
      </c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 t="s">
        <v>26</v>
      </c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</row>
    <row r="43" spans="1:60" ht="13.5" customHeight="1" x14ac:dyDescent="0.25">
      <c r="A43" s="12" t="s">
        <v>26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 t="s">
        <v>26</v>
      </c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 t="s">
        <v>26</v>
      </c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 t="s">
        <v>26</v>
      </c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</row>
    <row r="44" spans="1:60" ht="13.5" customHeight="1" x14ac:dyDescent="0.25">
      <c r="A44" s="10" t="s">
        <v>61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</row>
    <row r="45" spans="1:60" ht="13.5" customHeight="1" x14ac:dyDescent="0.25">
      <c r="A45" s="7" t="s">
        <v>62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2">
        <f>ROUND(AY8+IF(AY14="",0,AY14),2)</f>
        <v>157877.01</v>
      </c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</row>
    <row r="46" spans="1:60" ht="13.5" customHeight="1" x14ac:dyDescent="0.25">
      <c r="A46" s="7" t="s">
        <v>63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2">
        <f>ROUND(AE21,2)</f>
        <v>24215.3</v>
      </c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</row>
    <row r="47" spans="1:60" s="20" customFormat="1" ht="13.5" customHeight="1" x14ac:dyDescent="0.25">
      <c r="A47" s="18" t="s">
        <v>64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9">
        <v>43398</v>
      </c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</row>
    <row r="48" spans="1:60" ht="21" customHeight="1" x14ac:dyDescent="0.25">
      <c r="A48" s="7" t="s">
        <v>65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2">
        <v>6122</v>
      </c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</row>
    <row r="49" spans="1:60" ht="13.5" customHeight="1" x14ac:dyDescent="0.25">
      <c r="A49" s="7" t="s">
        <v>66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2">
        <v>73893.119999999995</v>
      </c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</row>
    <row r="50" spans="1:60" ht="13.5" customHeight="1" x14ac:dyDescent="0.25">
      <c r="A50" s="7" t="s">
        <v>67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1" t="s">
        <v>26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</row>
    <row r="51" spans="1:60" ht="13.5" customHeight="1" x14ac:dyDescent="0.25">
      <c r="A51" s="7" t="s">
        <v>68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1" t="s">
        <v>26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</row>
    <row r="52" spans="1:60" ht="21" customHeight="1" x14ac:dyDescent="0.25">
      <c r="A52" s="9" t="s">
        <v>69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4">
        <v>10215.540000000001</v>
      </c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</row>
    <row r="53" spans="1:60" ht="21" customHeight="1" x14ac:dyDescent="0.25">
      <c r="A53" s="7" t="s">
        <v>70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1" t="s">
        <v>26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spans="1:60" ht="24" customHeight="1" x14ac:dyDescent="0.25">
      <c r="A54" s="10" t="s">
        <v>71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</row>
    <row r="55" spans="1:60" ht="13.5" customHeight="1" x14ac:dyDescent="0.25">
      <c r="A55" s="13" t="s">
        <v>72</v>
      </c>
      <c r="B55" s="13"/>
      <c r="C55" s="13"/>
      <c r="D55" s="13"/>
      <c r="E55" s="13"/>
      <c r="F55" s="13"/>
      <c r="G55" s="13"/>
      <c r="H55" s="13"/>
      <c r="I55" s="13"/>
      <c r="J55" s="13"/>
      <c r="K55" s="12" t="s">
        <v>73</v>
      </c>
      <c r="L55" s="12"/>
      <c r="M55" s="12"/>
      <c r="N55" s="12"/>
      <c r="O55" s="12"/>
      <c r="P55" s="12"/>
      <c r="Q55" s="12"/>
      <c r="R55" s="12"/>
      <c r="S55" s="12"/>
      <c r="T55" s="12"/>
      <c r="U55" s="13" t="s">
        <v>56</v>
      </c>
      <c r="V55" s="13"/>
      <c r="W55" s="13"/>
      <c r="X55" s="13"/>
      <c r="Y55" s="13"/>
      <c r="Z55" s="13"/>
      <c r="AA55" s="13"/>
      <c r="AB55" s="13"/>
      <c r="AC55" s="13"/>
      <c r="AD55" s="13"/>
      <c r="AE55" s="12" t="s">
        <v>74</v>
      </c>
      <c r="AF55" s="12"/>
      <c r="AG55" s="12"/>
      <c r="AH55" s="12"/>
      <c r="AI55" s="12"/>
      <c r="AJ55" s="12"/>
      <c r="AK55" s="12"/>
      <c r="AL55" s="12"/>
      <c r="AM55" s="12"/>
      <c r="AN55" s="12"/>
      <c r="AO55" s="13" t="s">
        <v>1</v>
      </c>
      <c r="AP55" s="13"/>
      <c r="AQ55" s="13"/>
      <c r="AR55" s="13"/>
      <c r="AS55" s="13"/>
      <c r="AT55" s="13"/>
      <c r="AU55" s="13"/>
      <c r="AV55" s="13"/>
      <c r="AW55" s="13"/>
      <c r="AX55" s="13"/>
      <c r="AY55" s="12" t="s">
        <v>75</v>
      </c>
      <c r="AZ55" s="12"/>
      <c r="BA55" s="12"/>
      <c r="BB55" s="12"/>
      <c r="BC55" s="12"/>
      <c r="BD55" s="12"/>
      <c r="BE55" s="12"/>
      <c r="BF55" s="12"/>
      <c r="BG55" s="12"/>
      <c r="BH55" s="12"/>
    </row>
  </sheetData>
  <mergeCells count="191">
    <mergeCell ref="A52:AD52"/>
    <mergeCell ref="AE52:BH52"/>
    <mergeCell ref="A53:AD53"/>
    <mergeCell ref="AE53:BH53"/>
    <mergeCell ref="A54:BH54"/>
    <mergeCell ref="A55:J55"/>
    <mergeCell ref="K55:T55"/>
    <mergeCell ref="U55:AD55"/>
    <mergeCell ref="AE55:AN55"/>
    <mergeCell ref="AO55:AX55"/>
    <mergeCell ref="AY55:BH55"/>
    <mergeCell ref="A47:AD47"/>
    <mergeCell ref="AE47:BH47"/>
    <mergeCell ref="A48:AD48"/>
    <mergeCell ref="AE48:BH48"/>
    <mergeCell ref="A49:AD49"/>
    <mergeCell ref="AE49:BH49"/>
    <mergeCell ref="A50:AD50"/>
    <mergeCell ref="AE50:BH50"/>
    <mergeCell ref="A51:AD51"/>
    <mergeCell ref="AE51:BH51"/>
    <mergeCell ref="A43:O43"/>
    <mergeCell ref="P43:AD43"/>
    <mergeCell ref="AE43:AS43"/>
    <mergeCell ref="AT43:BH43"/>
    <mergeCell ref="A44:BH44"/>
    <mergeCell ref="A45:AD45"/>
    <mergeCell ref="AE45:BH45"/>
    <mergeCell ref="A46:AD46"/>
    <mergeCell ref="AE46:BH46"/>
    <mergeCell ref="A40:O40"/>
    <mergeCell ref="P40:AD40"/>
    <mergeCell ref="AE40:AS40"/>
    <mergeCell ref="AT40:BH40"/>
    <mergeCell ref="A41:O41"/>
    <mergeCell ref="P41:AD41"/>
    <mergeCell ref="AE41:AS41"/>
    <mergeCell ref="AT41:BH41"/>
    <mergeCell ref="A42:O42"/>
    <mergeCell ref="P42:AD42"/>
    <mergeCell ref="AE42:AS42"/>
    <mergeCell ref="AT42:BH42"/>
    <mergeCell ref="A37:J37"/>
    <mergeCell ref="K37:T37"/>
    <mergeCell ref="U37:AD37"/>
    <mergeCell ref="AE37:AN37"/>
    <mergeCell ref="AO37:AX37"/>
    <mergeCell ref="AY37:BH37"/>
    <mergeCell ref="A38:AX38"/>
    <mergeCell ref="AY38:BH38"/>
    <mergeCell ref="A39:BH39"/>
    <mergeCell ref="A35:J35"/>
    <mergeCell ref="K35:T35"/>
    <mergeCell ref="U35:AD35"/>
    <mergeCell ref="AE35:AN35"/>
    <mergeCell ref="AO35:AX35"/>
    <mergeCell ref="AY35:BH35"/>
    <mergeCell ref="A36:J36"/>
    <mergeCell ref="K36:T36"/>
    <mergeCell ref="U36:AD36"/>
    <mergeCell ref="AE36:AN36"/>
    <mergeCell ref="AO36:AX36"/>
    <mergeCell ref="AY36:BH36"/>
    <mergeCell ref="A32:L32"/>
    <mergeCell ref="M32:X32"/>
    <mergeCell ref="Y32:AJ32"/>
    <mergeCell ref="AK32:AV32"/>
    <mergeCell ref="AW32:BH32"/>
    <mergeCell ref="A33:BH33"/>
    <mergeCell ref="A34:J34"/>
    <mergeCell ref="K34:T34"/>
    <mergeCell ref="U34:AD34"/>
    <mergeCell ref="AE34:AN34"/>
    <mergeCell ref="AO34:AX34"/>
    <mergeCell ref="AY34:BH34"/>
    <mergeCell ref="A30:L30"/>
    <mergeCell ref="M30:X30"/>
    <mergeCell ref="Y30:AJ30"/>
    <mergeCell ref="AK30:AV30"/>
    <mergeCell ref="AW30:BH30"/>
    <mergeCell ref="A31:L31"/>
    <mergeCell ref="M31:X31"/>
    <mergeCell ref="Y31:AJ31"/>
    <mergeCell ref="AK31:AV31"/>
    <mergeCell ref="AW31:BH31"/>
    <mergeCell ref="A28:L28"/>
    <mergeCell ref="M28:X28"/>
    <mergeCell ref="Y28:AJ28"/>
    <mergeCell ref="AK28:AV28"/>
    <mergeCell ref="AW28:BH28"/>
    <mergeCell ref="A29:L29"/>
    <mergeCell ref="M29:X29"/>
    <mergeCell ref="Y29:AJ29"/>
    <mergeCell ref="AK29:AV29"/>
    <mergeCell ref="AW29:BH29"/>
    <mergeCell ref="A26:L26"/>
    <mergeCell ref="M26:X26"/>
    <mergeCell ref="Y26:AJ26"/>
    <mergeCell ref="AK26:AV26"/>
    <mergeCell ref="AW26:BH26"/>
    <mergeCell ref="A27:L27"/>
    <mergeCell ref="M27:X27"/>
    <mergeCell ref="Y27:AJ27"/>
    <mergeCell ref="AK27:AV27"/>
    <mergeCell ref="AW27:BH27"/>
    <mergeCell ref="A24:L24"/>
    <mergeCell ref="M24:X24"/>
    <mergeCell ref="Y24:AJ24"/>
    <mergeCell ref="AK24:AV24"/>
    <mergeCell ref="AW24:BH24"/>
    <mergeCell ref="A25:L25"/>
    <mergeCell ref="M25:X25"/>
    <mergeCell ref="Y25:AJ25"/>
    <mergeCell ref="AK25:AV25"/>
    <mergeCell ref="AW25:BH25"/>
    <mergeCell ref="A19:AD19"/>
    <mergeCell ref="AE19:BH19"/>
    <mergeCell ref="A20:AD20"/>
    <mergeCell ref="AE20:BH20"/>
    <mergeCell ref="A21:AD21"/>
    <mergeCell ref="AE21:BH21"/>
    <mergeCell ref="A22:BH22"/>
    <mergeCell ref="A23:L23"/>
    <mergeCell ref="M23:X23"/>
    <mergeCell ref="Y23:AJ23"/>
    <mergeCell ref="AK23:AV23"/>
    <mergeCell ref="AW23:BH23"/>
    <mergeCell ref="A14:AX14"/>
    <mergeCell ref="AY14:BH14"/>
    <mergeCell ref="A15:BH15"/>
    <mergeCell ref="A16:AD16"/>
    <mergeCell ref="AE16:BH16"/>
    <mergeCell ref="A17:AD17"/>
    <mergeCell ref="AE17:BH17"/>
    <mergeCell ref="A18:AD18"/>
    <mergeCell ref="AE18:BH18"/>
    <mergeCell ref="A12:J12"/>
    <mergeCell ref="K12:T12"/>
    <mergeCell ref="U12:AD12"/>
    <mergeCell ref="AE12:AN12"/>
    <mergeCell ref="AO12:AX12"/>
    <mergeCell ref="AY12:BH12"/>
    <mergeCell ref="A13:J13"/>
    <mergeCell ref="K13:T13"/>
    <mergeCell ref="U13:AD13"/>
    <mergeCell ref="AE13:AN13"/>
    <mergeCell ref="AO13:AX13"/>
    <mergeCell ref="AY13:BH13"/>
    <mergeCell ref="A10:J10"/>
    <mergeCell ref="K10:T10"/>
    <mergeCell ref="U10:AD10"/>
    <mergeCell ref="AE10:AN10"/>
    <mergeCell ref="AO10:AX10"/>
    <mergeCell ref="AY10:BH10"/>
    <mergeCell ref="A11:J11"/>
    <mergeCell ref="K11:T11"/>
    <mergeCell ref="U11:AD11"/>
    <mergeCell ref="AE11:AN11"/>
    <mergeCell ref="AO11:AX11"/>
    <mergeCell ref="AY11:BH11"/>
    <mergeCell ref="A7:J7"/>
    <mergeCell ref="K7:T7"/>
    <mergeCell ref="U7:AD7"/>
    <mergeCell ref="AE7:AN7"/>
    <mergeCell ref="AO7:AX7"/>
    <mergeCell ref="AY7:BH7"/>
    <mergeCell ref="A8:AX8"/>
    <mergeCell ref="AY8:BH8"/>
    <mergeCell ref="A9:BH9"/>
    <mergeCell ref="A4:BH4"/>
    <mergeCell ref="A5:J5"/>
    <mergeCell ref="K5:T5"/>
    <mergeCell ref="U5:AD5"/>
    <mergeCell ref="AE5:AN5"/>
    <mergeCell ref="AO5:AX5"/>
    <mergeCell ref="AY5:BH5"/>
    <mergeCell ref="A6:J6"/>
    <mergeCell ref="K6:T6"/>
    <mergeCell ref="U6:AD6"/>
    <mergeCell ref="AE6:AN6"/>
    <mergeCell ref="AO6:AX6"/>
    <mergeCell ref="AY6:BH6"/>
    <mergeCell ref="A1:BH1"/>
    <mergeCell ref="A2:O2"/>
    <mergeCell ref="P2:AD2"/>
    <mergeCell ref="AE2:AS2"/>
    <mergeCell ref="AT2:BH2"/>
    <mergeCell ref="A3:O3"/>
    <mergeCell ref="P3:AD3"/>
    <mergeCell ref="AE3:AS3"/>
    <mergeCell ref="AT3:BH3"/>
  </mergeCells>
  <pageMargins left="0.179861111111111" right="0.179861111111111" top="0.109722222222222" bottom="0.109722222222222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customHeight="1" x14ac:dyDescent="0.25"/>
  <cols>
    <col min="1" max="1" width="28" customWidth="1"/>
    <col min="2" max="2" width="110" customWidth="1"/>
  </cols>
  <sheetData>
    <row r="1" spans="1:2" ht="18" x14ac:dyDescent="0.25">
      <c r="A1" s="15" t="s">
        <v>76</v>
      </c>
    </row>
    <row r="3" spans="1:2" x14ac:dyDescent="0.25">
      <c r="A3" s="16" t="s">
        <v>20</v>
      </c>
      <c r="B3" s="16" t="s">
        <v>77</v>
      </c>
    </row>
    <row r="4" spans="1:2" x14ac:dyDescent="0.25">
      <c r="A4" t="s">
        <v>78</v>
      </c>
      <c r="B4" t="s">
        <v>79</v>
      </c>
    </row>
    <row r="5" spans="1:2" x14ac:dyDescent="0.25">
      <c r="A5" t="s">
        <v>80</v>
      </c>
      <c r="B5" t="s">
        <v>81</v>
      </c>
    </row>
    <row r="6" spans="1:2" x14ac:dyDescent="0.25">
      <c r="A6" t="s">
        <v>82</v>
      </c>
      <c r="B6" t="s">
        <v>81</v>
      </c>
    </row>
    <row r="7" spans="1:2" x14ac:dyDescent="0.25">
      <c r="A7" t="s">
        <v>83</v>
      </c>
      <c r="B7" t="s">
        <v>84</v>
      </c>
    </row>
    <row r="8" spans="1:2" x14ac:dyDescent="0.25">
      <c r="A8" t="s">
        <v>85</v>
      </c>
      <c r="B8" t="s">
        <v>86</v>
      </c>
    </row>
    <row r="9" spans="1:2" x14ac:dyDescent="0.25">
      <c r="A9" t="s">
        <v>87</v>
      </c>
      <c r="B9" t="s">
        <v>88</v>
      </c>
    </row>
    <row r="10" spans="1:2" x14ac:dyDescent="0.25">
      <c r="A10" t="s">
        <v>89</v>
      </c>
      <c r="B10" t="s">
        <v>90</v>
      </c>
    </row>
    <row r="11" spans="1:2" x14ac:dyDescent="0.25">
      <c r="A11" t="s">
        <v>91</v>
      </c>
      <c r="B11" t="s">
        <v>92</v>
      </c>
    </row>
    <row r="12" spans="1:2" x14ac:dyDescent="0.25">
      <c r="A12" t="s">
        <v>93</v>
      </c>
      <c r="B12" t="s">
        <v>94</v>
      </c>
    </row>
    <row r="13" spans="1:2" x14ac:dyDescent="0.25">
      <c r="A13" t="s">
        <v>95</v>
      </c>
      <c r="B13" t="s">
        <v>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customHeight="1" x14ac:dyDescent="0.25"/>
  <cols>
    <col min="1" max="1" width="130" customWidth="1"/>
  </cols>
  <sheetData>
    <row r="1" spans="1:1" ht="18" x14ac:dyDescent="0.25">
      <c r="A1" s="15" t="s">
        <v>97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Daily Sales Report</vt:lpstr>
      <vt:lpstr>Transcription Notes</vt:lpstr>
      <vt:lpstr>Source Image</vt:lpstr>
      <vt:lpstr>'Daily Sales Report'!Print_Area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mithendra</dc:creator>
  <cp:lastModifiedBy>Shared</cp:lastModifiedBy>
  <dcterms:created xsi:type="dcterms:W3CDTF">2026-08-15T17:21:59Z</dcterms:created>
  <dcterms:modified xsi:type="dcterms:W3CDTF">2026-08-15T17:22:45Z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2026-08-15T16:37:24Z</dcterms:created>
  <dc:creator>openpyxl</dc:creator>
  <dc:description/>
  <dc:language>en-US</dc:language>
  <cp:lastModifiedBy>Shared</cp:lastModifiedBy>
  <dcterms:modified xsi:type="dcterms:W3CDTF">2026-08-15T17:06:33Z</dcterms:modified>
  <cp:revision>0</cp:revision>
  <dc:subject/>
  <dc:title/>
</cp:coreProperties>
</file>